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alba_llorente_alu_uclm_es/Documents/Universidad/TERCERO/Primer Cuatrimestre/ISO 2/"/>
    </mc:Choice>
  </mc:AlternateContent>
  <xr:revisionPtr revIDLastSave="180" documentId="11_F25DC773A252ABDACC10486A411D5C085BDE58F5" xr6:coauthVersionLast="47" xr6:coauthVersionMax="47" xr10:uidLastSave="{BFDE3E61-7249-46A3-A9EB-8E91337F222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40" i="1"/>
  <c r="J30" i="1"/>
  <c r="J10" i="1"/>
  <c r="D14" i="1"/>
  <c r="D13" i="1"/>
  <c r="H10" i="1"/>
  <c r="H21" i="1"/>
  <c r="H11" i="1"/>
  <c r="H20" i="1"/>
  <c r="L39" i="1"/>
  <c r="K39" i="1"/>
  <c r="J39" i="1"/>
  <c r="I39" i="1"/>
  <c r="H39" i="1"/>
  <c r="H40" i="1"/>
  <c r="L29" i="1"/>
  <c r="K29" i="1"/>
  <c r="J29" i="1"/>
  <c r="I29" i="1"/>
  <c r="H29" i="1"/>
  <c r="L19" i="1"/>
  <c r="K19" i="1"/>
  <c r="J19" i="1"/>
  <c r="I19" i="1"/>
  <c r="H19" i="1"/>
  <c r="H30" i="1"/>
  <c r="L9" i="1"/>
  <c r="K9" i="1"/>
  <c r="J9" i="1"/>
  <c r="I9" i="1"/>
  <c r="H9" i="1"/>
  <c r="H41" i="1" l="1"/>
  <c r="H31" i="1"/>
</calcChain>
</file>

<file path=xl/sharedStrings.xml><?xml version="1.0" encoding="utf-8"?>
<sst xmlns="http://schemas.openxmlformats.org/spreadsheetml/2006/main" count="49" uniqueCount="20">
  <si>
    <t>Cost</t>
  </si>
  <si>
    <t>Position</t>
  </si>
  <si>
    <t>Requirements</t>
  </si>
  <si>
    <t>Analysis</t>
  </si>
  <si>
    <t>Design</t>
  </si>
  <si>
    <t>Implementation</t>
  </si>
  <si>
    <t>Testing</t>
  </si>
  <si>
    <t>R</t>
  </si>
  <si>
    <t>A</t>
  </si>
  <si>
    <t>D</t>
  </si>
  <si>
    <t>T</t>
  </si>
  <si>
    <t xml:space="preserve">I </t>
  </si>
  <si>
    <t>Total hours</t>
  </si>
  <si>
    <t>Total cost</t>
  </si>
  <si>
    <t>Iteration 7 - UC22</t>
  </si>
  <si>
    <t>Iteration 8 - UC29</t>
  </si>
  <si>
    <t>Iteration 9 - UC12</t>
  </si>
  <si>
    <t>Iteration 10 - UC14</t>
  </si>
  <si>
    <t>Total Cost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</si>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</sst>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165" fontId="0" fillId="4" borderId="0" xfId="0" applyNumberFormat="1" applyFill="1"/>
    <xf numFmtId="165" fontId="0" fillId="0" borderId="0" xfId="0" applyNumberFormat="1" applyFill="1"/>
    <xf numFmtId="0" fontId="0" fillId="4" borderId="0" xfId="0" applyFill="1"/>
    <xf numFmtId="0" fontId="0" fillId="0" borderId="0" xfId="0" applyNumberFormat="1"/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41"/>
  <sheetViews>
    <sheetView tabSelected="1" topLeftCell="B1" zoomScale="98" zoomScaleNormal="98" workbookViewId="0">
      <selection activeCell="Q10" sqref="P10:Q10"/>
    </sheetView>
  </sheetViews>
  <sheetFormatPr baseColWidth="10" defaultColWidth="8.88671875" defaultRowHeight="14.4" x14ac:dyDescent="0.3"/>
  <cols>
    <col min="3" max="3" width="14.44140625" customWidth="1"/>
    <col min="4" max="4" width="9.6640625" bestFit="1" customWidth="1"/>
    <col min="6" max="6" width="7.5546875" customWidth="1"/>
    <col min="7" max="7" width="10.21875" customWidth="1"/>
    <col min="10" max="10" width="10.77734375" bestFit="1" customWidth="1"/>
  </cols>
  <sheetData>
    <row r="3" spans="3:12" x14ac:dyDescent="0.3">
      <c r="G3" s="9" t="s">
        <v>14</v>
      </c>
      <c r="H3" s="9"/>
      <c r="I3" s="9"/>
      <c r="J3" s="9"/>
      <c r="K3" s="9"/>
      <c r="L3" s="9"/>
    </row>
    <row r="4" spans="3:12" x14ac:dyDescent="0.3">
      <c r="C4" s="2" t="s">
        <v>1</v>
      </c>
      <c r="D4" s="2" t="s">
        <v>0</v>
      </c>
      <c r="G4" s="1" t="s">
        <v>7</v>
      </c>
      <c r="H4" s="7">
        <v>1</v>
      </c>
      <c r="I4" s="7"/>
      <c r="J4" s="7"/>
      <c r="K4" s="7"/>
      <c r="L4" s="7"/>
    </row>
    <row r="5" spans="3:12" x14ac:dyDescent="0.3">
      <c r="C5" s="1" t="s">
        <v>2</v>
      </c>
      <c r="D5" s="3">
        <v>100</v>
      </c>
      <c r="G5" s="1" t="s">
        <v>8</v>
      </c>
      <c r="H5" s="8"/>
      <c r="I5" s="8">
        <v>2</v>
      </c>
      <c r="J5" s="8"/>
      <c r="K5" s="8"/>
      <c r="L5" s="8"/>
    </row>
    <row r="6" spans="3:12" x14ac:dyDescent="0.3">
      <c r="C6" s="1" t="s">
        <v>3</v>
      </c>
      <c r="D6" s="4">
        <v>60</v>
      </c>
      <c r="G6" s="1" t="s">
        <v>9</v>
      </c>
      <c r="H6" s="8"/>
      <c r="I6" s="8"/>
      <c r="J6" s="8">
        <v>2.5</v>
      </c>
      <c r="K6" s="8"/>
      <c r="L6" s="8"/>
    </row>
    <row r="7" spans="3:12" x14ac:dyDescent="0.3">
      <c r="C7" s="1" t="s">
        <v>4</v>
      </c>
      <c r="D7" s="3">
        <v>50</v>
      </c>
      <c r="G7" s="1" t="s">
        <v>11</v>
      </c>
      <c r="H7" s="8"/>
      <c r="I7" s="8"/>
      <c r="J7" s="8"/>
      <c r="K7" s="8">
        <v>5</v>
      </c>
      <c r="L7" s="8"/>
    </row>
    <row r="8" spans="3:12" x14ac:dyDescent="0.3">
      <c r="C8" s="1" t="s">
        <v>5</v>
      </c>
      <c r="D8" s="4">
        <v>25</v>
      </c>
      <c r="G8" s="1" t="s">
        <v>10</v>
      </c>
      <c r="H8" s="8"/>
      <c r="I8" s="8"/>
      <c r="J8" s="8"/>
      <c r="K8" s="8"/>
      <c r="L8" s="8">
        <v>5</v>
      </c>
    </row>
    <row r="9" spans="3:12" x14ac:dyDescent="0.3">
      <c r="C9" s="1" t="s">
        <v>6</v>
      </c>
      <c r="D9" s="3">
        <v>15</v>
      </c>
      <c r="G9" s="1" t="s">
        <v>0</v>
      </c>
      <c r="H9" s="10">
        <f>PRODUCT(H4,D5)</f>
        <v>100</v>
      </c>
      <c r="I9" s="10">
        <f>PRODUCT(I5,D6)</f>
        <v>120</v>
      </c>
      <c r="J9" s="10">
        <f>PRODUCT(J6,D7)</f>
        <v>125</v>
      </c>
      <c r="K9" s="10">
        <f>PRODUCT(K7,D8)</f>
        <v>125</v>
      </c>
      <c r="L9" s="10">
        <f>PRODUCT(L8,D9)</f>
        <v>75</v>
      </c>
    </row>
    <row r="10" spans="3:12" x14ac:dyDescent="0.3">
      <c r="G10" s="1" t="s">
        <v>12</v>
      </c>
      <c r="H10" s="5">
        <f>SUM(H4,I5,J6,K7,L8)</f>
        <v>15.5</v>
      </c>
      <c r="I10" s="1" t="s">
        <v>19</v>
      </c>
      <c r="J10" s="6">
        <f>H10/8</f>
        <v>1.9375</v>
      </c>
    </row>
    <row r="11" spans="3:12" x14ac:dyDescent="0.3">
      <c r="G11" s="1" t="s">
        <v>13</v>
      </c>
      <c r="H11" s="3">
        <f>SUM(H9:L9)</f>
        <v>545</v>
      </c>
    </row>
    <row r="13" spans="3:12" x14ac:dyDescent="0.3">
      <c r="C13" s="2" t="s">
        <v>12</v>
      </c>
      <c r="D13" s="1">
        <f>SUM(H10,H20,H30,H40)</f>
        <v>62.5</v>
      </c>
      <c r="H13" s="9" t="s">
        <v>15</v>
      </c>
      <c r="I13" s="9"/>
      <c r="J13" s="9"/>
      <c r="K13" s="9"/>
      <c r="L13" s="9"/>
    </row>
    <row r="14" spans="3:12" x14ac:dyDescent="0.3">
      <c r="C14" s="2" t="s">
        <v>18</v>
      </c>
      <c r="D14" s="11">
        <f>SUM(H11,H21,H31,H41)</f>
        <v>2250</v>
      </c>
      <c r="G14" s="1" t="s">
        <v>7</v>
      </c>
      <c r="H14" s="7">
        <v>1</v>
      </c>
      <c r="I14" s="7"/>
      <c r="J14" s="7"/>
      <c r="K14" s="7"/>
      <c r="L14" s="7"/>
    </row>
    <row r="15" spans="3:12" x14ac:dyDescent="0.3">
      <c r="G15" s="1" t="s">
        <v>8</v>
      </c>
      <c r="H15" s="8"/>
      <c r="I15" s="8">
        <v>2</v>
      </c>
      <c r="J15" s="8"/>
      <c r="K15" s="8"/>
      <c r="L15" s="8"/>
    </row>
    <row r="16" spans="3:12" x14ac:dyDescent="0.3">
      <c r="G16" s="1" t="s">
        <v>9</v>
      </c>
      <c r="H16" s="8"/>
      <c r="I16" s="8"/>
      <c r="J16" s="8">
        <v>2</v>
      </c>
      <c r="K16" s="8"/>
      <c r="L16" s="8"/>
    </row>
    <row r="17" spans="7:12" x14ac:dyDescent="0.3">
      <c r="G17" s="1" t="s">
        <v>11</v>
      </c>
      <c r="H17" s="8"/>
      <c r="I17" s="8"/>
      <c r="J17" s="8"/>
      <c r="K17" s="8">
        <v>5</v>
      </c>
      <c r="L17" s="8"/>
    </row>
    <row r="18" spans="7:12" x14ac:dyDescent="0.3">
      <c r="G18" s="1" t="s">
        <v>10</v>
      </c>
      <c r="H18" s="8"/>
      <c r="I18" s="8"/>
      <c r="J18" s="8"/>
      <c r="K18" s="8"/>
      <c r="L18" s="8">
        <v>5</v>
      </c>
    </row>
    <row r="19" spans="7:12" x14ac:dyDescent="0.3">
      <c r="G19" s="1" t="s">
        <v>0</v>
      </c>
      <c r="H19" s="10">
        <f>PRODUCT(H14,D5)</f>
        <v>100</v>
      </c>
      <c r="I19" s="10">
        <f>PRODUCT(I15,D6)</f>
        <v>120</v>
      </c>
      <c r="J19" s="10">
        <f>PRODUCT(J16,D7)</f>
        <v>100</v>
      </c>
      <c r="K19" s="10">
        <f>PRODUCT(K17,D8)</f>
        <v>125</v>
      </c>
      <c r="L19" s="10">
        <f>PRODUCT(L18,D9)</f>
        <v>75</v>
      </c>
    </row>
    <row r="20" spans="7:12" x14ac:dyDescent="0.3">
      <c r="G20" s="1" t="s">
        <v>12</v>
      </c>
      <c r="H20" s="5">
        <f>SUM(H14,I15,J16,K17,L18)</f>
        <v>15</v>
      </c>
      <c r="I20" s="1" t="s">
        <v>19</v>
      </c>
      <c r="J20" s="6">
        <f>H20/8</f>
        <v>1.875</v>
      </c>
    </row>
    <row r="21" spans="7:12" x14ac:dyDescent="0.3">
      <c r="G21" s="1" t="s">
        <v>13</v>
      </c>
      <c r="H21" s="3">
        <f>SUM(H19:L19)</f>
        <v>520</v>
      </c>
    </row>
    <row r="23" spans="7:12" x14ac:dyDescent="0.3">
      <c r="H23" s="9" t="s">
        <v>16</v>
      </c>
      <c r="I23" s="9"/>
      <c r="J23" s="9"/>
      <c r="K23" s="9"/>
      <c r="L23" s="9"/>
    </row>
    <row r="24" spans="7:12" x14ac:dyDescent="0.3">
      <c r="G24" s="1" t="s">
        <v>7</v>
      </c>
      <c r="H24" s="7">
        <v>1</v>
      </c>
      <c r="I24" s="7"/>
      <c r="J24" s="7"/>
      <c r="K24" s="7"/>
      <c r="L24" s="7"/>
    </row>
    <row r="25" spans="7:12" x14ac:dyDescent="0.3">
      <c r="G25" s="1" t="s">
        <v>8</v>
      </c>
      <c r="H25" s="8"/>
      <c r="I25" s="8">
        <v>1</v>
      </c>
      <c r="J25" s="8"/>
      <c r="K25" s="8"/>
      <c r="L25" s="8"/>
    </row>
    <row r="26" spans="7:12" x14ac:dyDescent="0.3">
      <c r="G26" s="1" t="s">
        <v>9</v>
      </c>
      <c r="H26" s="8"/>
      <c r="I26" s="8"/>
      <c r="J26" s="8">
        <v>2.5</v>
      </c>
      <c r="K26" s="8"/>
      <c r="L26" s="8"/>
    </row>
    <row r="27" spans="7:12" x14ac:dyDescent="0.3">
      <c r="G27" s="1" t="s">
        <v>11</v>
      </c>
      <c r="H27" s="8"/>
      <c r="I27" s="8"/>
      <c r="J27" s="8"/>
      <c r="K27" s="8">
        <v>5</v>
      </c>
      <c r="L27" s="8"/>
    </row>
    <row r="28" spans="7:12" x14ac:dyDescent="0.3">
      <c r="G28" s="1" t="s">
        <v>10</v>
      </c>
      <c r="H28" s="8"/>
      <c r="I28" s="8"/>
      <c r="J28" s="8"/>
      <c r="K28" s="8"/>
      <c r="L28" s="8">
        <v>5</v>
      </c>
    </row>
    <row r="29" spans="7:12" x14ac:dyDescent="0.3">
      <c r="G29" s="1" t="s">
        <v>0</v>
      </c>
      <c r="H29" s="10">
        <f>PRODUCT(H24,D5)</f>
        <v>100</v>
      </c>
      <c r="I29" s="10">
        <f>PRODUCT(I25,D6)</f>
        <v>60</v>
      </c>
      <c r="J29" s="10">
        <f>PRODUCT(J26,D7)</f>
        <v>125</v>
      </c>
      <c r="K29" s="10">
        <f>PRODUCT(K27,D8)</f>
        <v>125</v>
      </c>
      <c r="L29" s="10">
        <f>PRODUCT(L28,D9)</f>
        <v>75</v>
      </c>
    </row>
    <row r="30" spans="7:12" x14ac:dyDescent="0.3">
      <c r="G30" s="1" t="s">
        <v>12</v>
      </c>
      <c r="H30" s="5">
        <f>SUM(H24,I25,J26,K27,L28)</f>
        <v>14.5</v>
      </c>
      <c r="I30" s="1" t="s">
        <v>19</v>
      </c>
      <c r="J30" s="6">
        <f>H30/8</f>
        <v>1.8125</v>
      </c>
    </row>
    <row r="31" spans="7:12" x14ac:dyDescent="0.3">
      <c r="G31" s="1" t="s">
        <v>13</v>
      </c>
      <c r="H31" s="3">
        <f>SUM(H29:L29)</f>
        <v>485</v>
      </c>
    </row>
    <row r="33" spans="7:12" x14ac:dyDescent="0.3">
      <c r="H33" s="9" t="s">
        <v>17</v>
      </c>
      <c r="I33" s="9"/>
      <c r="J33" s="9"/>
      <c r="K33" s="9"/>
      <c r="L33" s="9"/>
    </row>
    <row r="34" spans="7:12" x14ac:dyDescent="0.3">
      <c r="G34" s="1" t="s">
        <v>7</v>
      </c>
      <c r="H34" s="7">
        <v>2</v>
      </c>
      <c r="I34" s="7"/>
      <c r="J34" s="7"/>
      <c r="K34" s="7"/>
      <c r="L34" s="7"/>
    </row>
    <row r="35" spans="7:12" x14ac:dyDescent="0.3">
      <c r="G35" s="1" t="s">
        <v>8</v>
      </c>
      <c r="H35" s="8"/>
      <c r="I35" s="8">
        <v>2.5</v>
      </c>
      <c r="J35" s="8"/>
      <c r="K35" s="8"/>
      <c r="L35" s="8"/>
    </row>
    <row r="36" spans="7:12" x14ac:dyDescent="0.3">
      <c r="G36" s="1" t="s">
        <v>9</v>
      </c>
      <c r="H36" s="8"/>
      <c r="I36" s="8"/>
      <c r="J36" s="8">
        <v>3</v>
      </c>
      <c r="K36" s="8"/>
      <c r="L36" s="8"/>
    </row>
    <row r="37" spans="7:12" x14ac:dyDescent="0.3">
      <c r="G37" s="1" t="s">
        <v>11</v>
      </c>
      <c r="H37" s="8"/>
      <c r="I37" s="8"/>
      <c r="J37" s="8"/>
      <c r="K37" s="8">
        <v>5</v>
      </c>
      <c r="L37" s="8"/>
    </row>
    <row r="38" spans="7:12" x14ac:dyDescent="0.3">
      <c r="G38" s="1" t="s">
        <v>10</v>
      </c>
      <c r="H38" s="8"/>
      <c r="I38" s="8"/>
      <c r="J38" s="8"/>
      <c r="K38" s="8"/>
      <c r="L38" s="8">
        <v>5</v>
      </c>
    </row>
    <row r="39" spans="7:12" x14ac:dyDescent="0.3">
      <c r="G39" s="1" t="s">
        <v>0</v>
      </c>
      <c r="H39" s="10">
        <f>PRODUCT(H34,D5)</f>
        <v>200</v>
      </c>
      <c r="I39" s="10">
        <f>PRODUCT(I35,D6)</f>
        <v>150</v>
      </c>
      <c r="J39" s="10">
        <f>PRODUCT(J36,D7)</f>
        <v>150</v>
      </c>
      <c r="K39" s="10">
        <f>PRODUCT(K37,D8)</f>
        <v>125</v>
      </c>
      <c r="L39" s="10">
        <f>PRODUCT(L38,D9)</f>
        <v>75</v>
      </c>
    </row>
    <row r="40" spans="7:12" x14ac:dyDescent="0.3">
      <c r="G40" s="1" t="s">
        <v>12</v>
      </c>
      <c r="H40" s="5">
        <f>SUM(H34,I35,J36,K37,L38)</f>
        <v>17.5</v>
      </c>
      <c r="I40" s="1" t="s">
        <v>19</v>
      </c>
      <c r="J40" s="6">
        <f>H40/8</f>
        <v>2.1875</v>
      </c>
    </row>
    <row r="41" spans="7:12" x14ac:dyDescent="0.3">
      <c r="G41" s="1" t="s">
        <v>13</v>
      </c>
      <c r="H41" s="3">
        <f>SUM(H39:L39)</f>
        <v>700</v>
      </c>
    </row>
  </sheetData>
  <mergeCells count="4">
    <mergeCell ref="H13:L13"/>
    <mergeCell ref="H23:L23"/>
    <mergeCell ref="H33:L33"/>
    <mergeCell ref="G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Llorente Ramírez</dc:creator>
  <cp:lastModifiedBy>ALBA LLORENTE RAMÍREZ</cp:lastModifiedBy>
  <dcterms:created xsi:type="dcterms:W3CDTF">2015-06-05T18:17:20Z</dcterms:created>
  <dcterms:modified xsi:type="dcterms:W3CDTF">2025-11-02T10:02:24Z</dcterms:modified>
</cp:coreProperties>
</file>